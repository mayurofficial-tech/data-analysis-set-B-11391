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b099c820731260/Desktop/exam2/excel/"/>
    </mc:Choice>
  </mc:AlternateContent>
  <xr:revisionPtr revIDLastSave="5" documentId="8_{995BEC7A-F6D7-446F-9BD3-65FE22354BF9}" xr6:coauthVersionLast="47" xr6:coauthVersionMax="47" xr10:uidLastSave="{0615CE73-D811-485D-AE54-B49F4470793F}"/>
  <bookViews>
    <workbookView xWindow="390" yWindow="390" windowWidth="13155" windowHeight="14160" activeTab="3" xr2:uid="{752678CC-023F-4E97-A70F-BEE94115CEE4}"/>
  </bookViews>
  <sheets>
    <sheet name="Raw" sheetId="1" r:id="rId1"/>
    <sheet name="Lookup" sheetId="2" r:id="rId2"/>
    <sheet name="Clean" sheetId="3" r:id="rId3"/>
    <sheet name="Summary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3" l="1"/>
  <c r="B3" i="4"/>
  <c r="B4" i="4"/>
  <c r="B2" i="4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  <c r="K2" i="3"/>
  <c r="K3" i="3"/>
  <c r="H2" i="1"/>
</calcChain>
</file>

<file path=xl/sharedStrings.xml><?xml version="1.0" encoding="utf-8"?>
<sst xmlns="http://schemas.openxmlformats.org/spreadsheetml/2006/main" count="123" uniqueCount="34">
  <si>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</si>
  <si>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</si>
  <si>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</si>
  <si>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</si>
  <si>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</si>
  <si>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</si>
  <si>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</si>
  <si>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</si>
  <si>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</si>
  <si>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</si>
  <si>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</si>
  <si>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</si>
  <si>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</si>
  <si>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</si>
  <si>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</si>
  <si>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</si>
  <si>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</si>
  <si>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</si>
  <si>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</si>
  <si>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</si>
  <si>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</si>
  <si>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</si>
  <si>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</si>
  <si>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</si>
  <si>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Row_count</t>
  </si>
  <si>
    <t>Before row count</t>
  </si>
  <si>
    <t>After row count</t>
  </si>
  <si>
    <t>duplicates</t>
  </si>
  <si>
    <t xml:space="preserve">breach_flag </t>
  </si>
  <si>
    <t>total breach</t>
  </si>
  <si>
    <t>Row Labels</t>
  </si>
  <si>
    <t>Grand Total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</si>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</sst>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2" xfId="0" applyFont="1" applyFill="1" applyBorder="1"/>
    <xf numFmtId="0" fontId="0" fillId="3" borderId="1" xfId="0" applyFont="1" applyFill="1" applyBorder="1"/>
    <xf numFmtId="0" fontId="0" fillId="3" borderId="4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0" fontId="0" fillId="3" borderId="5" xfId="0" applyFont="1" applyFill="1" applyBorder="1"/>
    <xf numFmtId="0" fontId="0" fillId="3" borderId="3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3" xfId="0" applyFont="1" applyBorder="1"/>
    <xf numFmtId="0" fontId="0" fillId="0" borderId="6" xfId="0" applyFont="1" applyBorder="1"/>
    <xf numFmtId="0" fontId="2" fillId="4" borderId="0" xfId="0" applyFont="1" applyFill="1"/>
    <xf numFmtId="0" fontId="0" fillId="5" borderId="0" xfId="0" applyFill="1"/>
    <xf numFmtId="0" fontId="2" fillId="4" borderId="7" xfId="0" applyFont="1" applyFill="1" applyBorder="1"/>
    <xf numFmtId="0" fontId="0" fillId="6" borderId="7" xfId="0" applyFill="1" applyBorder="1"/>
    <xf numFmtId="49" fontId="2" fillId="4" borderId="7" xfId="0" applyNumberFormat="1" applyFont="1" applyFill="1" applyBorder="1"/>
    <xf numFmtId="1" fontId="2" fillId="4" borderId="7" xfId="0" applyNumberFormat="1" applyFont="1" applyFill="1" applyBorder="1"/>
    <xf numFmtId="0" fontId="3" fillId="4" borderId="7" xfId="0" applyFont="1" applyFill="1" applyBorder="1"/>
    <xf numFmtId="49" fontId="0" fillId="5" borderId="7" xfId="0" applyNumberFormat="1" applyFill="1" applyBorder="1"/>
    <xf numFmtId="1" fontId="0" fillId="5" borderId="7" xfId="0" applyNumberFormat="1" applyFill="1" applyBorder="1"/>
    <xf numFmtId="0" fontId="0" fillId="5" borderId="7" xfId="0" applyFill="1" applyBorder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>
                <a:effectLst/>
              </a:rPr>
              <a:t>average resolution_hours by month and department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Summary!$F$1:$F$2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Summary!$E$3:$E$5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Summary!$F$3:$F$5</c:f>
              <c:numCache>
                <c:formatCode>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6-4E3E-9ED4-73BD2B7FE4B5}"/>
            </c:ext>
          </c:extLst>
        </c:ser>
        <c:ser>
          <c:idx val="1"/>
          <c:order val="1"/>
          <c:tx>
            <c:strRef>
              <c:f>Summary!$G$1:$G$2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Summary!$E$3:$E$5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Summary!$G$3:$G$5</c:f>
              <c:numCache>
                <c:formatCode>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6-4E3E-9ED4-73BD2B7FE4B5}"/>
            </c:ext>
          </c:extLst>
        </c:ser>
        <c:ser>
          <c:idx val="2"/>
          <c:order val="2"/>
          <c:tx>
            <c:strRef>
              <c:f>Summary!$H$1:$H$2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Summary!$E$3:$E$5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Summary!$H$3:$H$5</c:f>
              <c:numCache>
                <c:formatCode>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6-4E3E-9ED4-73BD2B7F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16528"/>
        <c:axId val="1002377808"/>
      </c:barChart>
      <c:catAx>
        <c:axId val="71601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r>
                  <a:rPr lang="en-IN" baseline="0"/>
                  <a:t> and service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77808"/>
        <c:crosses val="autoZero"/>
        <c:auto val="1"/>
        <c:lblAlgn val="ctr"/>
        <c:lblOffset val="100"/>
        <c:noMultiLvlLbl val="0"/>
      </c:catAx>
      <c:valAx>
        <c:axId val="10023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1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342906</xdr:colOff>
      <xdr:row>6</xdr:row>
      <xdr:rowOff>180975</xdr:rowOff>
    </xdr:from>
    <xdr:to>
      <xdr:col>5</xdr:col>
      <xdr:colOff>323856</xdr:colOff>
      <xdr:row>21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D149B-CBE4-6FE2-7AD1-184A5CBCA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 MAKVANA" refreshedDate="46298.454553124997" createdVersion="8" refreshedVersion="8" minRefreshableVersion="3" recordCount="12" xr:uid="{7753066E-F31A-42CC-8B91-29FC61D58C4B}">
  <cacheSource type="worksheet">
    <worksheetSource ref="A1:H13" sheet="Clean"/>
  </cacheSource>
  <cacheFields count="8">
    <cacheField name="ticket_id" numFmtId="1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team_id" numFmtId="49">
      <sharedItems/>
    </cacheField>
    <cacheField name="channel" numFmtId="49">
      <sharedItems/>
    </cacheField>
    <cacheField name="resolution_hours" numFmtId="1">
      <sharedItems containsSemiMixedTypes="0" containsString="0" containsNumber="1" containsInteger="1" minValue="8" maxValue="40"/>
    </cacheField>
    <cacheField name="satisfaction" numFmtId="1">
      <sharedItems containsSemiMixedTypes="0" containsString="0" containsNumber="1" containsInteger="1" minValue="2" maxValue="5"/>
    </cacheField>
    <cacheField name="department" numFmtId="49">
      <sharedItems count="2">
        <s v="Service"/>
        <s v="Technical"/>
      </sharedItems>
    </cacheField>
    <cacheField name="breach_flag 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6CEA5-FA3F-43E0-A806-620186C4B4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:I5" firstHeaderRow="1" firstDataRow="2" firstDataCol="1"/>
  <pivotFields count="8">
    <pivotField numFmtI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  <pivotField numFmtId="1"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0" baseItem="0" numFmtId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39120-E0D6-4E93-851C-A8044EB314D6}" name="Table1" displayName="Table1" ref="A1:B4" totalsRowShown="0">
  <autoFilter ref="A1:B4" xr:uid="{DAC39120-E0D6-4E93-851C-A8044EB314D6}"/>
  <tableColumns count="2">
    <tableColumn id="1" xr3:uid="{B54248DE-2290-4AB0-9452-765D888E46B0}" name="channel" dataDxfId="0"/>
    <tableColumn id="2" xr3:uid="{981468EC-791A-4B7A-86F6-24C636EEB137}" name="total breach">
      <calculatedColumnFormula>COUNTIFS(Clean!$D$2:$D$13,Summary!A2,Clean!$H$2:$H$13,1)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09E5-5BF1-44B3-9219-B59CFE4BBC0D}">
  <dimension ref="A1:H14"/>
  <sheetViews>
    <sheetView workbookViewId="0">
      <selection activeCell="K13" sqref="K13"/>
    </sheetView>
  </sheetViews>
  <sheetFormatPr defaultRowHeight="15" x14ac:dyDescent="0.25"/>
  <cols>
    <col min="1" max="1" width="10.85546875" customWidth="1"/>
    <col min="2" max="2" width="9" customWidth="1"/>
    <col min="3" max="3" width="10.42578125" customWidth="1"/>
    <col min="4" max="4" width="10.140625" customWidth="1"/>
    <col min="5" max="5" width="18.28515625" customWidth="1"/>
    <col min="6" max="6" width="13.28515625" customWidth="1"/>
    <col min="8" max="8" width="10.85546875" bestFit="1" customWidth="1"/>
  </cols>
  <sheetData>
    <row r="1" spans="1:8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H1" s="17" t="s">
        <v>24</v>
      </c>
    </row>
    <row r="2" spans="1:8" x14ac:dyDescent="0.25">
      <c r="A2" s="11">
        <v>1</v>
      </c>
      <c r="B2" s="12" t="s">
        <v>6</v>
      </c>
      <c r="C2" s="12" t="s">
        <v>7</v>
      </c>
      <c r="D2" s="12" t="s">
        <v>8</v>
      </c>
      <c r="E2" s="12">
        <v>12</v>
      </c>
      <c r="F2" s="13">
        <v>4</v>
      </c>
      <c r="H2" s="18">
        <f>COUNT(A2:A14)</f>
        <v>13</v>
      </c>
    </row>
    <row r="3" spans="1:8" x14ac:dyDescent="0.25">
      <c r="A3" s="14">
        <v>2</v>
      </c>
      <c r="B3" s="15" t="s">
        <v>6</v>
      </c>
      <c r="C3" s="15" t="s">
        <v>9</v>
      </c>
      <c r="D3" s="15" t="s">
        <v>10</v>
      </c>
      <c r="E3" s="15">
        <v>28</v>
      </c>
      <c r="F3" s="16">
        <v>3</v>
      </c>
    </row>
    <row r="4" spans="1:8" x14ac:dyDescent="0.25">
      <c r="A4" s="11">
        <v>3</v>
      </c>
      <c r="B4" s="12" t="s">
        <v>6</v>
      </c>
      <c r="C4" s="12" t="s">
        <v>11</v>
      </c>
      <c r="D4" s="12" t="s">
        <v>12</v>
      </c>
      <c r="E4" s="12">
        <v>36</v>
      </c>
      <c r="F4" s="13">
        <v>2</v>
      </c>
    </row>
    <row r="5" spans="1:8" x14ac:dyDescent="0.25">
      <c r="A5" s="14">
        <v>4</v>
      </c>
      <c r="B5" s="15" t="s">
        <v>6</v>
      </c>
      <c r="C5" s="15" t="s">
        <v>13</v>
      </c>
      <c r="D5" s="15" t="s">
        <v>8</v>
      </c>
      <c r="E5" s="15">
        <v>20</v>
      </c>
      <c r="F5" s="16">
        <v>4</v>
      </c>
    </row>
    <row r="6" spans="1:8" x14ac:dyDescent="0.25">
      <c r="A6" s="11">
        <v>5</v>
      </c>
      <c r="B6" s="12" t="s">
        <v>14</v>
      </c>
      <c r="C6" s="12" t="s">
        <v>7</v>
      </c>
      <c r="D6" s="12" t="s">
        <v>10</v>
      </c>
      <c r="E6" s="12">
        <v>8</v>
      </c>
      <c r="F6" s="13">
        <v>5</v>
      </c>
    </row>
    <row r="7" spans="1:8" x14ac:dyDescent="0.25">
      <c r="A7" s="14">
        <v>6</v>
      </c>
      <c r="B7" s="15" t="s">
        <v>14</v>
      </c>
      <c r="C7" s="15" t="s">
        <v>9</v>
      </c>
      <c r="D7" s="15" t="s">
        <v>12</v>
      </c>
      <c r="E7" s="15">
        <v>30</v>
      </c>
      <c r="F7" s="16">
        <v>3</v>
      </c>
    </row>
    <row r="8" spans="1:8" x14ac:dyDescent="0.25">
      <c r="A8" s="11">
        <v>7</v>
      </c>
      <c r="B8" s="12" t="s">
        <v>14</v>
      </c>
      <c r="C8" s="12" t="s">
        <v>11</v>
      </c>
      <c r="D8" s="12" t="s">
        <v>8</v>
      </c>
      <c r="E8" s="12">
        <v>18</v>
      </c>
      <c r="F8" s="13">
        <v>4</v>
      </c>
    </row>
    <row r="9" spans="1:8" x14ac:dyDescent="0.25">
      <c r="A9" s="14">
        <v>8</v>
      </c>
      <c r="B9" s="15" t="s">
        <v>14</v>
      </c>
      <c r="C9" s="15" t="s">
        <v>13</v>
      </c>
      <c r="D9" s="15" t="s">
        <v>10</v>
      </c>
      <c r="E9" s="15">
        <v>40</v>
      </c>
      <c r="F9" s="16">
        <v>2</v>
      </c>
    </row>
    <row r="10" spans="1:8" x14ac:dyDescent="0.25">
      <c r="A10" s="11">
        <v>9</v>
      </c>
      <c r="B10" s="12" t="s">
        <v>15</v>
      </c>
      <c r="C10" s="12" t="s">
        <v>7</v>
      </c>
      <c r="D10" s="12" t="s">
        <v>12</v>
      </c>
      <c r="E10" s="12">
        <v>16</v>
      </c>
      <c r="F10" s="13">
        <v>4</v>
      </c>
    </row>
    <row r="11" spans="1:8" x14ac:dyDescent="0.25">
      <c r="A11" s="14">
        <v>10</v>
      </c>
      <c r="B11" s="15" t="s">
        <v>15</v>
      </c>
      <c r="C11" s="15" t="s">
        <v>9</v>
      </c>
      <c r="D11" s="15" t="s">
        <v>8</v>
      </c>
      <c r="E11" s="15">
        <v>22</v>
      </c>
      <c r="F11" s="16">
        <v>4</v>
      </c>
    </row>
    <row r="12" spans="1:8" x14ac:dyDescent="0.25">
      <c r="A12" s="11">
        <v>11</v>
      </c>
      <c r="B12" s="12" t="s">
        <v>15</v>
      </c>
      <c r="C12" s="12" t="s">
        <v>11</v>
      </c>
      <c r="D12" s="12" t="s">
        <v>10</v>
      </c>
      <c r="E12" s="12">
        <v>32</v>
      </c>
      <c r="F12" s="13">
        <v>3</v>
      </c>
    </row>
    <row r="13" spans="1:8" x14ac:dyDescent="0.25">
      <c r="A13" s="14">
        <v>12</v>
      </c>
      <c r="B13" s="15" t="s">
        <v>15</v>
      </c>
      <c r="C13" s="15" t="s">
        <v>13</v>
      </c>
      <c r="D13" s="15" t="s">
        <v>12</v>
      </c>
      <c r="E13" s="15">
        <v>24</v>
      </c>
      <c r="F13" s="16">
        <v>5</v>
      </c>
    </row>
    <row r="14" spans="1:8" x14ac:dyDescent="0.25">
      <c r="A14" s="6">
        <v>12</v>
      </c>
      <c r="B14" s="7" t="s">
        <v>15</v>
      </c>
      <c r="C14" s="7" t="s">
        <v>13</v>
      </c>
      <c r="D14" s="7" t="s">
        <v>12</v>
      </c>
      <c r="E14" s="7">
        <v>24</v>
      </c>
      <c r="F14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5398-AEA9-487A-9AAB-FDAF922A2C8C}">
  <dimension ref="A1:C5"/>
  <sheetViews>
    <sheetView workbookViewId="0">
      <selection activeCell="E11" sqref="E11"/>
    </sheetView>
  </sheetViews>
  <sheetFormatPr defaultRowHeight="15" x14ac:dyDescent="0.25"/>
  <cols>
    <col min="1" max="1" width="11" customWidth="1"/>
    <col min="2" max="2" width="12.140625" bestFit="1" customWidth="1"/>
    <col min="3" max="3" width="11.5703125" bestFit="1" customWidth="1"/>
  </cols>
  <sheetData>
    <row r="1" spans="1:3" x14ac:dyDescent="0.25">
      <c r="A1" s="11" t="s">
        <v>2</v>
      </c>
      <c r="B1" s="12" t="s">
        <v>16</v>
      </c>
      <c r="C1" s="13" t="s">
        <v>17</v>
      </c>
    </row>
    <row r="2" spans="1:3" x14ac:dyDescent="0.25">
      <c r="A2" s="14" t="s">
        <v>7</v>
      </c>
      <c r="B2" s="15" t="s">
        <v>18</v>
      </c>
      <c r="C2" s="16" t="s">
        <v>19</v>
      </c>
    </row>
    <row r="3" spans="1:3" x14ac:dyDescent="0.25">
      <c r="A3" s="11" t="s">
        <v>9</v>
      </c>
      <c r="B3" s="12" t="s">
        <v>20</v>
      </c>
      <c r="C3" s="13" t="s">
        <v>19</v>
      </c>
    </row>
    <row r="4" spans="1:3" x14ac:dyDescent="0.25">
      <c r="A4" s="14" t="s">
        <v>11</v>
      </c>
      <c r="B4" s="15" t="s">
        <v>21</v>
      </c>
      <c r="C4" s="16" t="s">
        <v>22</v>
      </c>
    </row>
    <row r="5" spans="1:3" x14ac:dyDescent="0.25">
      <c r="A5" s="6" t="s">
        <v>13</v>
      </c>
      <c r="B5" s="7" t="s">
        <v>23</v>
      </c>
      <c r="C5" s="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06EA-C378-4F11-809C-75EE833632E8}">
  <dimension ref="A1:K13"/>
  <sheetViews>
    <sheetView topLeftCell="B1" workbookViewId="0">
      <selection activeCell="I18" sqref="I18"/>
    </sheetView>
  </sheetViews>
  <sheetFormatPr defaultRowHeight="15" x14ac:dyDescent="0.25"/>
  <cols>
    <col min="1" max="1" width="8.7109375" style="1" bestFit="1" customWidth="1"/>
    <col min="2" max="2" width="6.85546875" style="2" bestFit="1" customWidth="1"/>
    <col min="3" max="3" width="8.28515625" style="2" bestFit="1" customWidth="1"/>
    <col min="4" max="4" width="8" style="2" bestFit="1" customWidth="1"/>
    <col min="5" max="5" width="16.28515625" style="1" bestFit="1" customWidth="1"/>
    <col min="6" max="6" width="11.140625" style="1" bestFit="1" customWidth="1"/>
    <col min="7" max="7" width="11.5703125" style="2" bestFit="1" customWidth="1"/>
    <col min="8" max="8" width="12.42578125" bestFit="1" customWidth="1"/>
    <col min="10" max="10" width="16.42578125" bestFit="1" customWidth="1"/>
    <col min="11" max="11" width="7.140625" customWidth="1"/>
  </cols>
  <sheetData>
    <row r="1" spans="1:11" x14ac:dyDescent="0.25">
      <c r="A1" s="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2" t="s">
        <v>5</v>
      </c>
      <c r="G1" s="21" t="s">
        <v>17</v>
      </c>
      <c r="H1" s="23" t="s">
        <v>28</v>
      </c>
      <c r="J1" s="19" t="s">
        <v>25</v>
      </c>
      <c r="K1" s="20">
        <f>COUNT(Raw!A2:A14)</f>
        <v>13</v>
      </c>
    </row>
    <row r="2" spans="1:11" x14ac:dyDescent="0.25">
      <c r="A2" s="1">
        <v>1</v>
      </c>
      <c r="B2" s="24" t="s">
        <v>6</v>
      </c>
      <c r="C2" s="24" t="s">
        <v>7</v>
      </c>
      <c r="D2" s="24" t="s">
        <v>8</v>
      </c>
      <c r="E2" s="25">
        <v>12</v>
      </c>
      <c r="F2" s="25">
        <v>4</v>
      </c>
      <c r="G2" s="24" t="str">
        <f>_xlfn.XLOOKUP(C2,Lookup!$A$2:$A$5,Lookup!$C$2:$C$5,"not found")</f>
        <v>Service</v>
      </c>
      <c r="H2" s="26">
        <f>IF(E2&gt;24,1,0)</f>
        <v>0</v>
      </c>
      <c r="J2" s="19" t="s">
        <v>26</v>
      </c>
      <c r="K2" s="20">
        <f>COUNT(A2:A13)</f>
        <v>12</v>
      </c>
    </row>
    <row r="3" spans="1:11" x14ac:dyDescent="0.25">
      <c r="A3" s="1">
        <v>2</v>
      </c>
      <c r="B3" s="24" t="s">
        <v>6</v>
      </c>
      <c r="C3" s="24" t="s">
        <v>9</v>
      </c>
      <c r="D3" s="24" t="s">
        <v>10</v>
      </c>
      <c r="E3" s="25">
        <v>28</v>
      </c>
      <c r="F3" s="25">
        <v>3</v>
      </c>
      <c r="G3" s="24" t="str">
        <f>_xlfn.XLOOKUP(C3,Lookup!$A$2:$A$5,Lookup!$C$2:$C$5,"not found")</f>
        <v>Service</v>
      </c>
      <c r="H3" s="26">
        <f t="shared" ref="H3:H13" si="0">IF(E3&gt;24,1,0)</f>
        <v>1</v>
      </c>
      <c r="J3" s="19" t="s">
        <v>27</v>
      </c>
      <c r="K3" s="20">
        <f>K1-K2</f>
        <v>1</v>
      </c>
    </row>
    <row r="4" spans="1:11" x14ac:dyDescent="0.25">
      <c r="A4" s="1">
        <v>3</v>
      </c>
      <c r="B4" s="24" t="s">
        <v>6</v>
      </c>
      <c r="C4" s="24" t="s">
        <v>11</v>
      </c>
      <c r="D4" s="24" t="s">
        <v>12</v>
      </c>
      <c r="E4" s="25">
        <v>36</v>
      </c>
      <c r="F4" s="25">
        <v>2</v>
      </c>
      <c r="G4" s="24" t="str">
        <f>_xlfn.XLOOKUP(C4,Lookup!$A$2:$A$5,Lookup!$C$2:$C$5,"not found")</f>
        <v>Technical</v>
      </c>
      <c r="H4" s="26">
        <f t="shared" si="0"/>
        <v>1</v>
      </c>
    </row>
    <row r="5" spans="1:11" x14ac:dyDescent="0.25">
      <c r="A5" s="1">
        <v>4</v>
      </c>
      <c r="B5" s="24" t="s">
        <v>6</v>
      </c>
      <c r="C5" s="24" t="s">
        <v>13</v>
      </c>
      <c r="D5" s="24" t="s">
        <v>8</v>
      </c>
      <c r="E5" s="25">
        <v>20</v>
      </c>
      <c r="F5" s="25">
        <v>4</v>
      </c>
      <c r="G5" s="24" t="str">
        <f>_xlfn.XLOOKUP(C5,Lookup!$A$2:$A$5,Lookup!$C$2:$C$5,"not found")</f>
        <v>Technical</v>
      </c>
      <c r="H5" s="26">
        <f t="shared" si="0"/>
        <v>0</v>
      </c>
    </row>
    <row r="6" spans="1:11" x14ac:dyDescent="0.25">
      <c r="A6" s="1">
        <v>5</v>
      </c>
      <c r="B6" s="24" t="s">
        <v>14</v>
      </c>
      <c r="C6" s="24" t="s">
        <v>7</v>
      </c>
      <c r="D6" s="24" t="s">
        <v>10</v>
      </c>
      <c r="E6" s="25">
        <v>8</v>
      </c>
      <c r="F6" s="25">
        <v>5</v>
      </c>
      <c r="G6" s="24" t="str">
        <f>_xlfn.XLOOKUP(C6,Lookup!$A$2:$A$5,Lookup!$C$2:$C$5,"not found")</f>
        <v>Service</v>
      </c>
      <c r="H6" s="26">
        <f t="shared" si="0"/>
        <v>0</v>
      </c>
    </row>
    <row r="7" spans="1:11" x14ac:dyDescent="0.25">
      <c r="A7" s="1">
        <v>6</v>
      </c>
      <c r="B7" s="24" t="s">
        <v>14</v>
      </c>
      <c r="C7" s="24" t="s">
        <v>9</v>
      </c>
      <c r="D7" s="24" t="s">
        <v>12</v>
      </c>
      <c r="E7" s="25">
        <v>30</v>
      </c>
      <c r="F7" s="25">
        <v>3</v>
      </c>
      <c r="G7" s="24" t="str">
        <f>_xlfn.XLOOKUP(C7,Lookup!$A$2:$A$5,Lookup!$C$2:$C$5,"not found")</f>
        <v>Service</v>
      </c>
      <c r="H7" s="26">
        <f t="shared" si="0"/>
        <v>1</v>
      </c>
    </row>
    <row r="8" spans="1:11" x14ac:dyDescent="0.25">
      <c r="A8" s="1">
        <v>7</v>
      </c>
      <c r="B8" s="24" t="s">
        <v>14</v>
      </c>
      <c r="C8" s="24" t="s">
        <v>11</v>
      </c>
      <c r="D8" s="24" t="s">
        <v>8</v>
      </c>
      <c r="E8" s="25">
        <v>18</v>
      </c>
      <c r="F8" s="25">
        <v>4</v>
      </c>
      <c r="G8" s="24" t="str">
        <f>_xlfn.XLOOKUP(C8,Lookup!$A$2:$A$5,Lookup!$C$2:$C$5,"not found")</f>
        <v>Technical</v>
      </c>
      <c r="H8" s="26">
        <f t="shared" si="0"/>
        <v>0</v>
      </c>
    </row>
    <row r="9" spans="1:11" x14ac:dyDescent="0.25">
      <c r="A9" s="1">
        <v>8</v>
      </c>
      <c r="B9" s="24" t="s">
        <v>14</v>
      </c>
      <c r="C9" s="24" t="s">
        <v>13</v>
      </c>
      <c r="D9" s="24" t="s">
        <v>10</v>
      </c>
      <c r="E9" s="25">
        <v>40</v>
      </c>
      <c r="F9" s="25">
        <v>2</v>
      </c>
      <c r="G9" s="24" t="str">
        <f>_xlfn.XLOOKUP(C9,Lookup!$A$2:$A$5,Lookup!$C$2:$C$5,"not found")</f>
        <v>Technical</v>
      </c>
      <c r="H9" s="26">
        <f t="shared" si="0"/>
        <v>1</v>
      </c>
    </row>
    <row r="10" spans="1:11" x14ac:dyDescent="0.25">
      <c r="A10" s="1">
        <v>9</v>
      </c>
      <c r="B10" s="24" t="s">
        <v>15</v>
      </c>
      <c r="C10" s="24" t="s">
        <v>7</v>
      </c>
      <c r="D10" s="24" t="s">
        <v>12</v>
      </c>
      <c r="E10" s="25">
        <v>16</v>
      </c>
      <c r="F10" s="25">
        <v>4</v>
      </c>
      <c r="G10" s="24" t="str">
        <f>_xlfn.XLOOKUP(C10,Lookup!$A$2:$A$5,Lookup!$C$2:$C$5,"not found")</f>
        <v>Service</v>
      </c>
      <c r="H10" s="26">
        <f t="shared" si="0"/>
        <v>0</v>
      </c>
    </row>
    <row r="11" spans="1:11" x14ac:dyDescent="0.25">
      <c r="A11" s="1">
        <v>10</v>
      </c>
      <c r="B11" s="24" t="s">
        <v>15</v>
      </c>
      <c r="C11" s="24" t="s">
        <v>9</v>
      </c>
      <c r="D11" s="24" t="s">
        <v>8</v>
      </c>
      <c r="E11" s="25">
        <v>22</v>
      </c>
      <c r="F11" s="25">
        <v>4</v>
      </c>
      <c r="G11" s="24" t="str">
        <f>_xlfn.XLOOKUP(C11,Lookup!$A$2:$A$5,Lookup!$C$2:$C$5,"not found")</f>
        <v>Service</v>
      </c>
      <c r="H11" s="26">
        <f t="shared" si="0"/>
        <v>0</v>
      </c>
    </row>
    <row r="12" spans="1:11" x14ac:dyDescent="0.25">
      <c r="A12" s="1">
        <v>11</v>
      </c>
      <c r="B12" s="24" t="s">
        <v>15</v>
      </c>
      <c r="C12" s="24" t="s">
        <v>11</v>
      </c>
      <c r="D12" s="24" t="s">
        <v>10</v>
      </c>
      <c r="E12" s="25">
        <v>32</v>
      </c>
      <c r="F12" s="25">
        <v>3</v>
      </c>
      <c r="G12" s="24" t="str">
        <f>_xlfn.XLOOKUP(C12,Lookup!$A$2:$A$5,Lookup!$C$2:$C$5,"not found")</f>
        <v>Technical</v>
      </c>
      <c r="H12" s="26">
        <f t="shared" si="0"/>
        <v>1</v>
      </c>
    </row>
    <row r="13" spans="1:11" x14ac:dyDescent="0.25">
      <c r="A13" s="1">
        <v>12</v>
      </c>
      <c r="B13" s="24" t="s">
        <v>15</v>
      </c>
      <c r="C13" s="24" t="s">
        <v>13</v>
      </c>
      <c r="D13" s="24" t="s">
        <v>12</v>
      </c>
      <c r="E13" s="25">
        <v>24</v>
      </c>
      <c r="F13" s="25">
        <v>5</v>
      </c>
      <c r="G13" s="24" t="str">
        <f>_xlfn.XLOOKUP(C13,Lookup!$A$2:$A$5,Lookup!$C$2:$C$5,"not found")</f>
        <v>Technical</v>
      </c>
      <c r="H13" s="26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18FE-546E-4D62-B22C-96CE1EEF9D0E}">
  <dimension ref="A1:I5"/>
  <sheetViews>
    <sheetView tabSelected="1" workbookViewId="0">
      <selection activeCell="F27" sqref="F27"/>
    </sheetView>
  </sheetViews>
  <sheetFormatPr defaultRowHeight="15" x14ac:dyDescent="0.25"/>
  <cols>
    <col min="1" max="1" width="10.140625" customWidth="1"/>
    <col min="2" max="2" width="13.7109375" customWidth="1"/>
    <col min="5" max="5" width="26.7109375" bestFit="1" customWidth="1"/>
    <col min="6" max="6" width="16.28515625" bestFit="1" customWidth="1"/>
    <col min="7" max="7" width="4.28515625" bestFit="1" customWidth="1"/>
    <col min="8" max="8" width="4.5703125" bestFit="1" customWidth="1"/>
    <col min="9" max="9" width="11.28515625" bestFit="1" customWidth="1"/>
  </cols>
  <sheetData>
    <row r="1" spans="1:9" x14ac:dyDescent="0.25">
      <c r="A1" s="2" t="s">
        <v>3</v>
      </c>
      <c r="B1" t="s">
        <v>29</v>
      </c>
      <c r="E1" s="3" t="s">
        <v>33</v>
      </c>
      <c r="F1" s="3" t="s">
        <v>32</v>
      </c>
    </row>
    <row r="2" spans="1:9" x14ac:dyDescent="0.25">
      <c r="A2" s="2" t="s">
        <v>8</v>
      </c>
      <c r="B2">
        <f>COUNTIFS(Clean!$D$2:$D$13,Summary!A2,Clean!$H$2:$H$13,1)</f>
        <v>0</v>
      </c>
      <c r="E2" s="3" t="s">
        <v>30</v>
      </c>
      <c r="F2" t="s">
        <v>6</v>
      </c>
      <c r="G2" t="s">
        <v>14</v>
      </c>
      <c r="H2" t="s">
        <v>15</v>
      </c>
      <c r="I2" t="s">
        <v>31</v>
      </c>
    </row>
    <row r="3" spans="1:9" x14ac:dyDescent="0.25">
      <c r="A3" s="2" t="s">
        <v>10</v>
      </c>
      <c r="B3">
        <f>COUNTIFS(Clean!$D$2:$D$13,Summary!A3,Clean!$H$2:$H$13,1)</f>
        <v>3</v>
      </c>
      <c r="E3" s="4" t="s">
        <v>19</v>
      </c>
      <c r="F3" s="1">
        <v>20</v>
      </c>
      <c r="G3" s="1">
        <v>19</v>
      </c>
      <c r="H3" s="1">
        <v>19</v>
      </c>
      <c r="I3" s="1">
        <v>19.333333333333332</v>
      </c>
    </row>
    <row r="4" spans="1:9" x14ac:dyDescent="0.25">
      <c r="A4" s="2" t="s">
        <v>12</v>
      </c>
      <c r="B4">
        <f>COUNTIFS(Clean!$D$2:$D$13,Summary!A4,Clean!$H$2:$H$13,1)</f>
        <v>2</v>
      </c>
      <c r="E4" s="4" t="s">
        <v>22</v>
      </c>
      <c r="F4" s="1">
        <v>28</v>
      </c>
      <c r="G4" s="1">
        <v>29</v>
      </c>
      <c r="H4" s="1">
        <v>28</v>
      </c>
      <c r="I4" s="1">
        <v>28.333333333333332</v>
      </c>
    </row>
    <row r="5" spans="1:9" x14ac:dyDescent="0.25">
      <c r="E5" s="4" t="s">
        <v>31</v>
      </c>
      <c r="F5" s="1">
        <v>24</v>
      </c>
      <c r="G5" s="1">
        <v>24</v>
      </c>
      <c r="H5" s="1">
        <v>23.5</v>
      </c>
      <c r="I5" s="1">
        <v>23.833333333333332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Makwana</dc:creator>
  <cp:lastModifiedBy>Mayur Makwana</cp:lastModifiedBy>
  <dcterms:created xsi:type="dcterms:W3CDTF">2026-10-03T04:22:46Z</dcterms:created>
  <dcterms:modified xsi:type="dcterms:W3CDTF">2026-10-03T06:25:54Z</dcterms:modified>
</cp:coreProperties>
</file>